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28680" yWindow="-36" windowWidth="29040" windowHeight="13716"/>
  </bookViews>
  <sheets>
    <sheet name="Comments" sheetId="1" r:id="rId1"/>
    <sheet name="I2C_Buses" sheetId="2" r:id="rId2"/>
    <sheet name="UARTs" sheetId="3" r:id="rId3"/>
    <sheet name="Power" sheetId="4" r:id="rId4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4"/>
  <c r="G12"/>
  <c r="G7"/>
  <c r="G2"/>
  <c r="D30"/>
  <c r="D31" s="1"/>
  <c r="D20"/>
  <c r="D12"/>
  <c r="D19"/>
  <c r="D17"/>
  <c r="D15"/>
  <c r="D14"/>
  <c r="D11"/>
  <c r="D26" s="1"/>
</calcChain>
</file>

<file path=xl/sharedStrings.xml><?xml version="1.0" encoding="utf-8"?>
<sst xmlns="http://schemas.openxmlformats.org/spreadsheetml/2006/main" count="176" uniqueCount="147">
  <si>
    <t>TS3USBCA410IRSVT</t>
  </si>
  <si>
    <t>I2C_TS</t>
  </si>
  <si>
    <t>Temperature Sensor</t>
  </si>
  <si>
    <t>Humidity sensor</t>
  </si>
  <si>
    <t>I2C_HS</t>
  </si>
  <si>
    <t>I2C_SYS</t>
  </si>
  <si>
    <t>PN5120A0HN1/C2,151</t>
  </si>
  <si>
    <t>CTP</t>
  </si>
  <si>
    <t>Lidar</t>
  </si>
  <si>
    <t>sl no</t>
  </si>
  <si>
    <t>updated date</t>
  </si>
  <si>
    <t>BQ25792RQMR</t>
  </si>
  <si>
    <t>LTC2944IDD#PBF</t>
  </si>
  <si>
    <t>BMA253</t>
  </si>
  <si>
    <t>7BIT_I2C_ADDR: 0x6B</t>
  </si>
  <si>
    <t>7BIT_I2C_ADDR: 0x64</t>
  </si>
  <si>
    <t>7BIT_I2C_ADDR: 0x52</t>
  </si>
  <si>
    <t>7BIT_I2C_ADDR: 0x5D</t>
  </si>
  <si>
    <t>7BIT_I2C_ADDR: 0x19</t>
  </si>
  <si>
    <t>7BIT_I2C_ADDR: 0x76</t>
  </si>
  <si>
    <t>7BIT_I2C_ADDR: 0x2F</t>
  </si>
  <si>
    <t>review status</t>
  </si>
  <si>
    <t>"The RTC is functional in VBAT mode and in all low-power modes when it is clocked by the LSE. When clocked by the LSI, the RTC is not functional in VBAT mode, but is functional in all low-power modes except Shutdown mode."</t>
  </si>
  <si>
    <t>As per datasheet section 3.33</t>
  </si>
  <si>
    <t>The connection should be like below</t>
  </si>
  <si>
    <t>"BLDC_POWER_CTRL" to be connected to a DAC Channel</t>
  </si>
  <si>
    <t>https://docs.espressif.com/projects/espressif-esp-iot-solution/en/latest/hw-reference/ESP-Prog_guide.html#communication-interface</t>
  </si>
  <si>
    <t>What will be the overall load on the 3.3V power supply?</t>
  </si>
  <si>
    <t>Low Speed Clock external (LSE) needs to be connected to STM32L4 chip for using RTC in VBAT mode</t>
  </si>
  <si>
    <t>STM32L4 RTC to be supported in VBAT mode</t>
  </si>
  <si>
    <t>Bring the S201, S202 and Lidar schematics in to the sensors page</t>
  </si>
  <si>
    <t>STM32L4 Debug UART TX and RX pins to the TC2030-NL is not crossed over. Match the pinout to --&gt; https://www.tag-connect.com/product/tc2030-nl-ftdi-ttl-232rg-vip-usb-to-tc2030-no-legs-serial-cable</t>
  </si>
  <si>
    <t>I found issues with BG95, STSPIN220F0A but please re-check all of them</t>
  </si>
  <si>
    <t>Do not connect KEY_IO_x signals to IO_Expander as it will be difficult to support the rotary encoder functionality on software</t>
  </si>
  <si>
    <t>PCAL9539AHF,128 main board</t>
  </si>
  <si>
    <t>PCAL9539AHF,128 LTE board</t>
  </si>
  <si>
    <t>7BIT_I2C_ADDR: 0x74</t>
  </si>
  <si>
    <t>CMX655D</t>
  </si>
  <si>
    <t>7BIT_I2C_ADDR: 0x54</t>
  </si>
  <si>
    <t>STSPIN32F0A</t>
  </si>
  <si>
    <t>7BIT_I2C_ADDR: ???</t>
  </si>
  <si>
    <t>7BIT_I2C_ADDR: 0x38</t>
  </si>
  <si>
    <t>NDIR (MCU)</t>
  </si>
  <si>
    <t>The BG95 MAIN UART CTS and RTS connection seems incorrect, please re-check and correct it.</t>
  </si>
  <si>
    <t>Since there is a shortage of pins, you can remove the CTS/RTS from the STSPIN32F0A chip</t>
  </si>
  <si>
    <t>Please check all your UART Tx, Rx, CTS and RTS connections. They do not seem to be crossed over correctly</t>
  </si>
  <si>
    <t>Consider moving all "CONN_x" signals to the IO Expander</t>
  </si>
  <si>
    <t>Add a connection from the IO_Expander RESET signals to an MCU pin as done on C201 design</t>
  </si>
  <si>
    <t>If you free up PB10 and PB11, you can easily add the I2C_4 bus</t>
  </si>
  <si>
    <t>I suggest moving the below devices to the new I2C bus</t>
  </si>
  <si>
    <t>The I2C_SYS bus has 11 slave devices now. To balance the load on the bus I think we should add another I2C bus (I2C_4)</t>
  </si>
  <si>
    <t>The schematic has become very complex. Can you make the MCU schematic doc page more readable by grouping signals as done on C201 and C204?</t>
  </si>
  <si>
    <t>RV3028 is not required, RTC_INT signal to to deleted, STM32L4 RTC is to be used</t>
  </si>
  <si>
    <t>ESP32 Debug/PROG connection pinout is incorrect. It should match the pinout of the debug tool ESP-PROG. Check the link below</t>
  </si>
  <si>
    <t>There are many ENs, RSTs and GPIOs that can be moved to the expander chip</t>
  </si>
  <si>
    <t>Can the LM27342SDX/NOPB handle the load? Note, apart from the on board chips it has to also power several (10 to 12) external sensors</t>
  </si>
  <si>
    <t>Would it be better to have 2 separate 3.3V power supplies?</t>
  </si>
  <si>
    <t>The S201 &amp; S202 connectors and accompanying circuitry are not needed. Please remove (or mask) them</t>
  </si>
  <si>
    <t>The rotary encoder connector is not required. Please remove it</t>
  </si>
  <si>
    <t>add another pin on the membrane keypad connector for the on/off button</t>
  </si>
  <si>
    <t>add 1 UVC LED on the main board. The LED connection to be made parallel to any one of the UVC FFC connector</t>
  </si>
  <si>
    <t>also I think it is better to increase the value and wattage of the series resistors to the UVC LEDs</t>
  </si>
  <si>
    <t>Change stepper driver ribbon cable connector to Molex 5023821070</t>
  </si>
  <si>
    <t>25W water heater connected by Molex 2121340002</t>
  </si>
  <si>
    <t>Change heating element connectors to</t>
  </si>
  <si>
    <t>5W heating coil connected by JST B2B-ZR-SM4-TF</t>
  </si>
  <si>
    <t>ok</t>
  </si>
  <si>
    <t>USART1</t>
  </si>
  <si>
    <t>USART2</t>
  </si>
  <si>
    <t>USART3</t>
  </si>
  <si>
    <t>UART4</t>
  </si>
  <si>
    <t>UART5</t>
  </si>
  <si>
    <t>LTE</t>
  </si>
  <si>
    <t>TXD</t>
  </si>
  <si>
    <t>RXD</t>
  </si>
  <si>
    <t>RTS</t>
  </si>
  <si>
    <t>CTS</t>
  </si>
  <si>
    <t>PG9</t>
  </si>
  <si>
    <t>PG10</t>
  </si>
  <si>
    <t>PG11</t>
  </si>
  <si>
    <t>PG12</t>
  </si>
  <si>
    <t>BLDC</t>
  </si>
  <si>
    <t>PA2</t>
  </si>
  <si>
    <t>PA3</t>
  </si>
  <si>
    <t>PD3</t>
  </si>
  <si>
    <t>PD4</t>
  </si>
  <si>
    <t>ESP32</t>
  </si>
  <si>
    <t>PC4</t>
  </si>
  <si>
    <t>PC5</t>
  </si>
  <si>
    <t>PA6</t>
  </si>
  <si>
    <t>PB1</t>
  </si>
  <si>
    <t>PD Controller</t>
  </si>
  <si>
    <t>PA0</t>
  </si>
  <si>
    <t>PA1</t>
  </si>
  <si>
    <t>C204</t>
  </si>
  <si>
    <t>PC12</t>
  </si>
  <si>
    <t>PD2</t>
  </si>
  <si>
    <t>see the ESP-PROG schematics</t>
  </si>
  <si>
    <t>incorrect
TXD &amp; RXD are reversed</t>
  </si>
  <si>
    <t>not answered</t>
  </si>
  <si>
    <t>I2C_SYS_2</t>
  </si>
  <si>
    <t>could be made better</t>
  </si>
  <si>
    <t>not done</t>
  </si>
  <si>
    <t>3.3V</t>
  </si>
  <si>
    <t>6V</t>
  </si>
  <si>
    <t>3.3V_BAT</t>
  </si>
  <si>
    <t>4V</t>
  </si>
  <si>
    <t>TCPP01-M12</t>
  </si>
  <si>
    <t>TCPP02-M18</t>
  </si>
  <si>
    <t>STM32G0</t>
  </si>
  <si>
    <t>STM32L4S7</t>
  </si>
  <si>
    <t>PN512</t>
  </si>
  <si>
    <t>TFT</t>
  </si>
  <si>
    <t>TFT CTP</t>
  </si>
  <si>
    <t>MT29</t>
  </si>
  <si>
    <t>SD Card</t>
  </si>
  <si>
    <t>TS3USBCA</t>
  </si>
  <si>
    <t>PCAL9539A</t>
  </si>
  <si>
    <t>4 x sensor connectors</t>
  </si>
  <si>
    <t>2 x NDIR</t>
  </si>
  <si>
    <t>LTE TS3USB3031</t>
  </si>
  <si>
    <t>LTE PCAL9539A</t>
  </si>
  <si>
    <t>LTE TXB0108</t>
  </si>
  <si>
    <t>TPS61169</t>
  </si>
  <si>
    <t>LDLN025</t>
  </si>
  <si>
    <t>3 x UVC</t>
  </si>
  <si>
    <t>STSPIN220</t>
  </si>
  <si>
    <t>Stepper driver</t>
  </si>
  <si>
    <t>STM32L4S7 RTC</t>
  </si>
  <si>
    <t>MIC1555</t>
  </si>
  <si>
    <t>SIT1533</t>
  </si>
  <si>
    <t>LTE BG95</t>
  </si>
  <si>
    <t>max curr (mA) @ 3.3V</t>
  </si>
  <si>
    <t>4 x BMA280</t>
  </si>
  <si>
    <t>2 x T+H</t>
  </si>
  <si>
    <t>ESP32 C3 Mini</t>
  </si>
  <si>
    <t>max curr (mA) @ 6V</t>
  </si>
  <si>
    <t>Pout</t>
  </si>
  <si>
    <t>Pin</t>
  </si>
  <si>
    <t>eff @ 60 deg</t>
  </si>
  <si>
    <t>LM27342</t>
  </si>
  <si>
    <t>TPS55340 will not work in the given input voltage range. Please consider using a different chip. MAX25240AFFF/VY+ can also be considered</t>
  </si>
  <si>
    <t>replaced by 5023821270</t>
  </si>
  <si>
    <t>LM27342SDX/NOPB max current 2A</t>
  </si>
  <si>
    <t>7BIT_I2C_ADDR: 0x77</t>
  </si>
  <si>
    <t>7BIT_I2C_ADDR: configurable</t>
  </si>
  <si>
    <t>total current 1.5A</t>
  </si>
</sst>
</file>

<file path=xl/styles.xml><?xml version="1.0" encoding="utf-8"?>
<styleSheet xmlns="http://schemas.openxmlformats.org/spreadsheetml/2006/main">
  <numFmts count="1">
    <numFmt numFmtId="164" formatCode="[$-409]d/mmm/yy;@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0" fontId="7" fillId="0" borderId="0" xfId="0" applyFont="1"/>
    <xf numFmtId="0" fontId="0" fillId="0" borderId="0" xfId="0" applyFill="1"/>
    <xf numFmtId="0" fontId="4" fillId="0" borderId="0" xfId="0" applyFont="1"/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9" fontId="0" fillId="0" borderId="0" xfId="2" applyFont="1"/>
    <xf numFmtId="2" fontId="0" fillId="0" borderId="0" xfId="0" applyNumberFormat="1"/>
    <xf numFmtId="14" fontId="3" fillId="0" borderId="0" xfId="0" applyNumberFormat="1" applyFont="1" applyAlignment="1">
      <alignment horizontal="center" vertical="center"/>
    </xf>
    <xf numFmtId="0" fontId="0" fillId="3" borderId="0" xfId="0" applyFill="1" applyAlignment="1">
      <alignment vertical="center"/>
    </xf>
    <xf numFmtId="0" fontId="1" fillId="3" borderId="0" xfId="1" applyFill="1" applyAlignment="1">
      <alignment vertical="center"/>
    </xf>
    <xf numFmtId="0" fontId="0" fillId="2" borderId="0" xfId="0" applyFill="1" applyAlignment="1">
      <alignment vertical="center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17</xdr:row>
      <xdr:rowOff>144781</xdr:rowOff>
    </xdr:from>
    <xdr:to>
      <xdr:col>7</xdr:col>
      <xdr:colOff>323850</xdr:colOff>
      <xdr:row>26</xdr:row>
      <xdr:rowOff>171275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8F776E8-70D8-4486-AC4D-15A2BBB44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1880" y="2522221"/>
          <a:ext cx="2667000" cy="168003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31</xdr:row>
      <xdr:rowOff>106680</xdr:rowOff>
    </xdr:from>
    <xdr:to>
      <xdr:col>9</xdr:col>
      <xdr:colOff>516255</xdr:colOff>
      <xdr:row>42</xdr:row>
      <xdr:rowOff>39859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5E571D4-076F-4E44-8389-39C4F556D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" y="5593080"/>
          <a:ext cx="4213860" cy="194485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83</xdr:row>
      <xdr:rowOff>114300</xdr:rowOff>
    </xdr:from>
    <xdr:to>
      <xdr:col>12</xdr:col>
      <xdr:colOff>525780</xdr:colOff>
      <xdr:row>93</xdr:row>
      <xdr:rowOff>113436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259580" y="15476220"/>
          <a:ext cx="5570220" cy="18279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spressif.com/sites/default/files/documentation/ESP-Prog_V2.1_reference_design_r1.0.zip" TargetMode="External"/><Relationship Id="rId1" Type="http://schemas.openxmlformats.org/officeDocument/2006/relationships/hyperlink" Target="https://docs.espressif.com/projects/espressif-esp-iot-solution/en/latest/hw-reference/ESP-Prog_guide.html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5"/>
  <sheetViews>
    <sheetView tabSelected="1" topLeftCell="A55" workbookViewId="0">
      <selection activeCell="S45" sqref="S45"/>
    </sheetView>
  </sheetViews>
  <sheetFormatPr defaultRowHeight="14.4"/>
  <cols>
    <col min="1" max="1" width="7.6640625" style="6" customWidth="1"/>
    <col min="2" max="2" width="14.77734375" style="6" customWidth="1"/>
    <col min="3" max="3" width="29" style="1" customWidth="1"/>
    <col min="4" max="4" width="8.88671875" style="2"/>
    <col min="5" max="5" width="11" style="2" bestFit="1" customWidth="1"/>
    <col min="6" max="10" width="8.88671875" style="2"/>
    <col min="11" max="11" width="11" style="2" bestFit="1" customWidth="1"/>
    <col min="12" max="16384" width="8.88671875" style="2"/>
  </cols>
  <sheetData>
    <row r="1" spans="1:16" s="10" customFormat="1">
      <c r="A1" s="11" t="s">
        <v>9</v>
      </c>
      <c r="B1" s="12" t="s">
        <v>10</v>
      </c>
      <c r="C1" s="9" t="s">
        <v>21</v>
      </c>
    </row>
    <row r="2" spans="1:16">
      <c r="A2" s="6">
        <v>1</v>
      </c>
      <c r="B2" s="7">
        <v>44655</v>
      </c>
      <c r="C2" s="22" t="s">
        <v>66</v>
      </c>
      <c r="D2" s="13" t="s">
        <v>43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>
      <c r="B3" s="7"/>
      <c r="C3" s="22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>
      <c r="A4" s="6">
        <v>2</v>
      </c>
      <c r="B4" s="7">
        <v>44655</v>
      </c>
      <c r="C4" s="7" t="s">
        <v>66</v>
      </c>
      <c r="D4" s="13" t="s">
        <v>31</v>
      </c>
      <c r="E4" s="4"/>
      <c r="F4" s="4"/>
      <c r="G4" s="4"/>
      <c r="H4" s="4"/>
      <c r="I4" s="4"/>
      <c r="J4" s="4"/>
    </row>
    <row r="5" spans="1:16">
      <c r="B5" s="7"/>
      <c r="C5" s="7"/>
      <c r="D5" s="5"/>
      <c r="E5" s="4"/>
      <c r="F5" s="4"/>
      <c r="G5" s="4"/>
      <c r="H5" s="4"/>
      <c r="I5" s="4"/>
    </row>
    <row r="6" spans="1:16">
      <c r="A6" s="6">
        <v>3</v>
      </c>
      <c r="B6" s="7">
        <v>44655</v>
      </c>
      <c r="C6" s="7" t="s">
        <v>66</v>
      </c>
      <c r="D6" s="13" t="s">
        <v>52</v>
      </c>
      <c r="E6" s="4"/>
      <c r="F6" s="4"/>
      <c r="G6" s="4"/>
      <c r="H6" s="4"/>
      <c r="I6" s="4"/>
    </row>
    <row r="7" spans="1:16">
      <c r="B7" s="7"/>
      <c r="C7" s="7" t="s">
        <v>66</v>
      </c>
      <c r="D7" s="13" t="s">
        <v>29</v>
      </c>
      <c r="E7" s="4"/>
      <c r="F7" s="4"/>
      <c r="G7" s="4"/>
      <c r="H7" s="4"/>
      <c r="I7" s="4"/>
    </row>
    <row r="8" spans="1:16">
      <c r="A8" s="2"/>
      <c r="B8" s="2"/>
      <c r="C8" s="6" t="s">
        <v>66</v>
      </c>
      <c r="D8" s="2" t="s">
        <v>28</v>
      </c>
    </row>
    <row r="9" spans="1:16">
      <c r="C9" s="6"/>
      <c r="D9" s="8" t="s">
        <v>23</v>
      </c>
    </row>
    <row r="10" spans="1:16">
      <c r="C10" s="6"/>
      <c r="E10" s="8" t="s">
        <v>22</v>
      </c>
    </row>
    <row r="11" spans="1:16">
      <c r="C11" s="6"/>
    </row>
    <row r="12" spans="1:16">
      <c r="A12" s="6">
        <v>4</v>
      </c>
      <c r="B12" s="7">
        <v>44655</v>
      </c>
      <c r="C12" s="6" t="s">
        <v>66</v>
      </c>
      <c r="D12" s="2" t="s">
        <v>25</v>
      </c>
    </row>
    <row r="13" spans="1:16">
      <c r="B13" s="7"/>
      <c r="C13" s="6"/>
      <c r="D13" s="2" t="s">
        <v>44</v>
      </c>
    </row>
    <row r="14" spans="1:16">
      <c r="B14" s="7"/>
      <c r="C14" s="6"/>
    </row>
    <row r="15" spans="1:16">
      <c r="A15" s="6">
        <v>5</v>
      </c>
      <c r="B15" s="7">
        <v>44655</v>
      </c>
      <c r="C15" s="6" t="s">
        <v>66</v>
      </c>
      <c r="D15" s="2" t="s">
        <v>45</v>
      </c>
    </row>
    <row r="16" spans="1:16">
      <c r="C16" s="6"/>
      <c r="D16" s="2" t="s">
        <v>32</v>
      </c>
    </row>
    <row r="17" spans="1:15">
      <c r="C17" s="6"/>
      <c r="D17" s="2" t="s">
        <v>24</v>
      </c>
    </row>
    <row r="18" spans="1:15">
      <c r="C18" s="6"/>
    </row>
    <row r="19" spans="1:15">
      <c r="C19" s="6"/>
    </row>
    <row r="20" spans="1:15">
      <c r="C20" s="6"/>
    </row>
    <row r="21" spans="1:15">
      <c r="C21" s="6"/>
    </row>
    <row r="22" spans="1:15">
      <c r="C22" s="6"/>
    </row>
    <row r="23" spans="1:15">
      <c r="C23" s="6"/>
    </row>
    <row r="24" spans="1:15">
      <c r="C24" s="6"/>
    </row>
    <row r="25" spans="1:15">
      <c r="C25" s="6"/>
    </row>
    <row r="26" spans="1:15">
      <c r="C26" s="6"/>
    </row>
    <row r="27" spans="1:15">
      <c r="C27" s="6"/>
    </row>
    <row r="28" spans="1:15">
      <c r="C28" s="6"/>
    </row>
    <row r="29" spans="1:15">
      <c r="C29" s="6"/>
    </row>
    <row r="30" spans="1:15" ht="28.8">
      <c r="A30" s="6">
        <v>6</v>
      </c>
      <c r="B30" s="7">
        <v>44655</v>
      </c>
      <c r="C30" s="23" t="s">
        <v>98</v>
      </c>
      <c r="D30" s="28" t="s">
        <v>53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>
      <c r="C31" s="21" t="s">
        <v>97</v>
      </c>
      <c r="D31" s="29" t="s">
        <v>26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6" spans="1:15">
      <c r="A46" s="6">
        <v>7</v>
      </c>
      <c r="B46" s="7">
        <v>44655</v>
      </c>
      <c r="C46" s="1" t="s">
        <v>66</v>
      </c>
      <c r="D46" s="2" t="s">
        <v>33</v>
      </c>
    </row>
    <row r="47" spans="1:15">
      <c r="B47" s="7"/>
      <c r="E47" s="2" t="s">
        <v>46</v>
      </c>
    </row>
    <row r="48" spans="1:15">
      <c r="B48" s="7"/>
      <c r="E48" s="2" t="s">
        <v>54</v>
      </c>
    </row>
    <row r="50" spans="1:20">
      <c r="A50" s="6">
        <v>8</v>
      </c>
      <c r="B50" s="7">
        <v>44655</v>
      </c>
      <c r="C50" s="1" t="s">
        <v>66</v>
      </c>
      <c r="D50" s="2" t="s">
        <v>47</v>
      </c>
    </row>
    <row r="52" spans="1:20">
      <c r="A52" s="6">
        <v>9</v>
      </c>
      <c r="B52" s="7">
        <v>44655</v>
      </c>
      <c r="C52" s="24" t="s">
        <v>99</v>
      </c>
      <c r="D52" s="28" t="s">
        <v>27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30" t="s">
        <v>146</v>
      </c>
      <c r="R52" s="30"/>
      <c r="S52" s="30"/>
      <c r="T52" s="30"/>
    </row>
    <row r="53" spans="1:20">
      <c r="D53" s="28" t="s">
        <v>55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30" t="s">
        <v>143</v>
      </c>
      <c r="R53" s="30"/>
      <c r="S53" s="30"/>
      <c r="T53" s="30"/>
    </row>
    <row r="54" spans="1:20">
      <c r="D54" s="28" t="s">
        <v>56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</row>
    <row r="56" spans="1:20">
      <c r="A56" s="17">
        <v>10</v>
      </c>
      <c r="B56" s="18">
        <v>44655</v>
      </c>
      <c r="C56" s="19"/>
      <c r="D56" s="20" t="s">
        <v>30</v>
      </c>
    </row>
    <row r="58" spans="1:20">
      <c r="A58" s="6">
        <v>11</v>
      </c>
      <c r="B58" s="7">
        <v>44655</v>
      </c>
      <c r="C58" s="1" t="s">
        <v>66</v>
      </c>
      <c r="D58" s="2" t="s">
        <v>50</v>
      </c>
    </row>
    <row r="59" spans="1:20">
      <c r="D59" s="2" t="s">
        <v>48</v>
      </c>
    </row>
    <row r="60" spans="1:20">
      <c r="E60" s="2" t="s">
        <v>49</v>
      </c>
    </row>
    <row r="61" spans="1:20">
      <c r="E61" s="15" t="s">
        <v>7</v>
      </c>
      <c r="G61" s="14" t="s">
        <v>41</v>
      </c>
    </row>
    <row r="62" spans="1:20">
      <c r="E62" s="15" t="s">
        <v>8</v>
      </c>
      <c r="G62" s="14" t="s">
        <v>16</v>
      </c>
    </row>
    <row r="63" spans="1:20">
      <c r="E63" t="s">
        <v>0</v>
      </c>
      <c r="G63" s="14" t="s">
        <v>17</v>
      </c>
    </row>
    <row r="65" spans="1:13">
      <c r="A65" s="6">
        <v>12</v>
      </c>
      <c r="B65" s="7">
        <v>44655</v>
      </c>
      <c r="C65" s="24" t="s">
        <v>101</v>
      </c>
      <c r="D65" s="2" t="s">
        <v>51</v>
      </c>
    </row>
    <row r="66" spans="1:13">
      <c r="B66" s="7"/>
    </row>
    <row r="67" spans="1:13">
      <c r="A67" s="6">
        <v>13</v>
      </c>
      <c r="B67" s="7">
        <v>44657</v>
      </c>
      <c r="C67" s="1" t="s">
        <v>102</v>
      </c>
      <c r="D67" s="28" t="s">
        <v>57</v>
      </c>
      <c r="E67" s="28"/>
      <c r="F67" s="28"/>
      <c r="G67" s="28"/>
      <c r="H67" s="28"/>
      <c r="I67" s="28"/>
      <c r="J67" s="28"/>
      <c r="K67" s="28"/>
      <c r="L67" s="28"/>
      <c r="M67" s="28"/>
    </row>
    <row r="68" spans="1:13">
      <c r="B68" s="7"/>
    </row>
    <row r="69" spans="1:13">
      <c r="A69" s="6">
        <v>14</v>
      </c>
      <c r="B69" s="7">
        <v>44657</v>
      </c>
      <c r="C69" s="1" t="s">
        <v>102</v>
      </c>
      <c r="D69" s="28" t="s">
        <v>58</v>
      </c>
      <c r="E69" s="28"/>
      <c r="F69" s="28"/>
      <c r="G69" s="28"/>
      <c r="H69" s="28"/>
      <c r="I69" s="28"/>
    </row>
    <row r="70" spans="1:13">
      <c r="B70" s="7"/>
    </row>
    <row r="71" spans="1:13">
      <c r="A71" s="6">
        <v>15</v>
      </c>
      <c r="B71" s="7">
        <v>44657</v>
      </c>
      <c r="C71" s="1" t="s">
        <v>102</v>
      </c>
      <c r="D71" s="28" t="s">
        <v>59</v>
      </c>
      <c r="E71" s="28"/>
      <c r="F71" s="28"/>
      <c r="G71" s="28"/>
      <c r="H71" s="28"/>
      <c r="I71" s="28"/>
      <c r="J71" s="28"/>
    </row>
    <row r="72" spans="1:13">
      <c r="B72" s="7"/>
    </row>
    <row r="73" spans="1:13">
      <c r="A73" s="6">
        <v>16</v>
      </c>
      <c r="B73" s="7">
        <v>44657</v>
      </c>
      <c r="C73" s="1" t="s">
        <v>102</v>
      </c>
      <c r="D73" s="28" t="s">
        <v>60</v>
      </c>
      <c r="E73" s="28"/>
      <c r="F73" s="28"/>
      <c r="G73" s="28"/>
      <c r="H73" s="28"/>
      <c r="I73" s="28"/>
      <c r="J73" s="28"/>
      <c r="K73" s="28"/>
      <c r="L73" s="28"/>
      <c r="M73" s="28"/>
    </row>
    <row r="74" spans="1:13">
      <c r="B74" s="7"/>
      <c r="D74" s="28" t="s">
        <v>61</v>
      </c>
      <c r="E74" s="28"/>
      <c r="F74" s="28"/>
      <c r="G74" s="28"/>
      <c r="H74" s="28"/>
      <c r="I74" s="28"/>
      <c r="J74" s="28"/>
      <c r="K74" s="28"/>
      <c r="L74" s="28"/>
      <c r="M74" s="28"/>
    </row>
    <row r="75" spans="1:13">
      <c r="B75" s="7"/>
    </row>
    <row r="76" spans="1:13">
      <c r="A76" s="6">
        <v>17</v>
      </c>
      <c r="B76" s="7">
        <v>44658</v>
      </c>
      <c r="C76" s="1" t="s">
        <v>102</v>
      </c>
      <c r="D76" s="28" t="s">
        <v>62</v>
      </c>
      <c r="E76" s="28"/>
      <c r="F76" s="28"/>
      <c r="G76" s="28"/>
      <c r="H76" s="28"/>
      <c r="I76" s="28"/>
      <c r="K76" s="2" t="s">
        <v>142</v>
      </c>
    </row>
    <row r="78" spans="1:13">
      <c r="A78" s="6">
        <v>18</v>
      </c>
      <c r="B78" s="7">
        <v>44658</v>
      </c>
      <c r="C78" s="1" t="s">
        <v>102</v>
      </c>
      <c r="D78" s="28" t="s">
        <v>64</v>
      </c>
      <c r="E78" s="28"/>
      <c r="F78" s="28"/>
      <c r="G78" s="28"/>
      <c r="H78" s="28"/>
      <c r="I78" s="28"/>
    </row>
    <row r="79" spans="1:13">
      <c r="D79" s="28"/>
      <c r="E79" s="28" t="s">
        <v>63</v>
      </c>
      <c r="F79" s="28"/>
      <c r="G79" s="28"/>
      <c r="H79" s="28"/>
      <c r="I79" s="28"/>
    </row>
    <row r="80" spans="1:13">
      <c r="D80" s="28"/>
      <c r="E80" s="28" t="s">
        <v>65</v>
      </c>
      <c r="F80" s="28"/>
      <c r="G80" s="28"/>
      <c r="H80" s="28"/>
      <c r="I80" s="28"/>
    </row>
    <row r="82" spans="1:16">
      <c r="A82" s="6">
        <v>19</v>
      </c>
      <c r="B82" s="27">
        <v>44659</v>
      </c>
      <c r="D82" s="28" t="s">
        <v>141</v>
      </c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</row>
    <row r="83" spans="1:16">
      <c r="B83" s="2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</row>
    <row r="84" spans="1:16"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</row>
    <row r="85" spans="1:16"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</row>
    <row r="86" spans="1:16"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</row>
    <row r="87" spans="1:16"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</row>
    <row r="88" spans="1:16"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</row>
    <row r="89" spans="1:16"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</row>
    <row r="90" spans="1:16"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</row>
    <row r="91" spans="1:16"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</row>
    <row r="92" spans="1:16"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</row>
    <row r="93" spans="1:16"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</row>
    <row r="94" spans="1:16"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</row>
    <row r="95" spans="1:16"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</row>
  </sheetData>
  <hyperlinks>
    <hyperlink ref="D31" r:id="rId1" location="communication-interface"/>
    <hyperlink ref="C31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zoomScale="110" zoomScaleNormal="110" workbookViewId="0">
      <selection activeCell="H18" sqref="H18"/>
    </sheetView>
  </sheetViews>
  <sheetFormatPr defaultRowHeight="14.4"/>
  <cols>
    <col min="1" max="1" width="17.6640625" bestFit="1" customWidth="1"/>
    <col min="2" max="2" width="19.109375" bestFit="1" customWidth="1"/>
    <col min="3" max="3" width="1.44140625" customWidth="1"/>
    <col min="4" max="4" width="16.77734375" bestFit="1" customWidth="1"/>
    <col min="5" max="5" width="19.109375" bestFit="1" customWidth="1"/>
    <col min="6" max="6" width="1.44140625" customWidth="1"/>
    <col min="7" max="7" width="26.5546875" bestFit="1" customWidth="1"/>
    <col min="8" max="8" width="19.33203125" bestFit="1" customWidth="1"/>
    <col min="9" max="9" width="1.5546875" customWidth="1"/>
    <col min="10" max="10" width="17.33203125" bestFit="1" customWidth="1"/>
    <col min="11" max="11" width="19.33203125" bestFit="1" customWidth="1"/>
  </cols>
  <sheetData>
    <row r="1" spans="1:11" s="16" customFormat="1">
      <c r="A1" s="16" t="s">
        <v>1</v>
      </c>
      <c r="D1" s="16" t="s">
        <v>4</v>
      </c>
      <c r="G1" s="16" t="s">
        <v>5</v>
      </c>
      <c r="J1" s="16" t="s">
        <v>100</v>
      </c>
    </row>
    <row r="2" spans="1:11">
      <c r="A2" t="s">
        <v>2</v>
      </c>
      <c r="B2" s="3" t="s">
        <v>19</v>
      </c>
      <c r="C2" s="3"/>
      <c r="D2" t="s">
        <v>3</v>
      </c>
      <c r="E2" s="3" t="s">
        <v>19</v>
      </c>
      <c r="F2" s="3"/>
      <c r="G2" s="15" t="s">
        <v>11</v>
      </c>
      <c r="H2" s="14" t="s">
        <v>14</v>
      </c>
      <c r="J2" s="15" t="s">
        <v>7</v>
      </c>
      <c r="K2" s="14" t="s">
        <v>41</v>
      </c>
    </row>
    <row r="3" spans="1:11">
      <c r="B3" s="3" t="s">
        <v>144</v>
      </c>
      <c r="C3" s="3"/>
      <c r="E3" s="3" t="s">
        <v>144</v>
      </c>
      <c r="F3" s="3"/>
      <c r="G3" t="s">
        <v>12</v>
      </c>
      <c r="H3" s="14" t="s">
        <v>15</v>
      </c>
      <c r="J3" s="15" t="s">
        <v>8</v>
      </c>
      <c r="K3" s="14" t="s">
        <v>16</v>
      </c>
    </row>
    <row r="4" spans="1:11">
      <c r="G4" s="15" t="s">
        <v>6</v>
      </c>
      <c r="H4" s="14" t="s">
        <v>20</v>
      </c>
      <c r="J4" t="s">
        <v>0</v>
      </c>
      <c r="K4" s="14" t="s">
        <v>17</v>
      </c>
    </row>
    <row r="5" spans="1:11">
      <c r="B5" s="14"/>
      <c r="C5" s="14"/>
      <c r="D5" t="s">
        <v>42</v>
      </c>
      <c r="E5" s="3" t="s">
        <v>40</v>
      </c>
      <c r="F5" s="14"/>
      <c r="G5" t="s">
        <v>34</v>
      </c>
      <c r="H5" s="14" t="s">
        <v>19</v>
      </c>
    </row>
    <row r="6" spans="1:11">
      <c r="B6" s="14"/>
      <c r="C6" s="14"/>
      <c r="E6" s="14"/>
      <c r="F6" s="14"/>
      <c r="G6" t="s">
        <v>13</v>
      </c>
      <c r="H6" s="14" t="s">
        <v>18</v>
      </c>
    </row>
    <row r="7" spans="1:11">
      <c r="G7" t="s">
        <v>35</v>
      </c>
      <c r="H7" s="14" t="s">
        <v>36</v>
      </c>
    </row>
    <row r="8" spans="1:11">
      <c r="F8" s="3"/>
      <c r="G8" t="s">
        <v>37</v>
      </c>
      <c r="H8" s="14" t="s">
        <v>38</v>
      </c>
    </row>
    <row r="9" spans="1:11">
      <c r="E9" s="14"/>
      <c r="F9" s="14"/>
      <c r="G9" t="s">
        <v>39</v>
      </c>
      <c r="H9" s="3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C10" sqref="C10"/>
    </sheetView>
  </sheetViews>
  <sheetFormatPr defaultRowHeight="14.4"/>
  <cols>
    <col min="2" max="2" width="12.44140625" bestFit="1" customWidth="1"/>
  </cols>
  <sheetData>
    <row r="1" spans="1:6">
      <c r="C1" t="s">
        <v>73</v>
      </c>
      <c r="D1" t="s">
        <v>74</v>
      </c>
      <c r="E1" t="s">
        <v>76</v>
      </c>
      <c r="F1" t="s">
        <v>75</v>
      </c>
    </row>
    <row r="2" spans="1:6">
      <c r="A2" t="s">
        <v>67</v>
      </c>
      <c r="B2" t="s">
        <v>72</v>
      </c>
      <c r="C2" t="s">
        <v>77</v>
      </c>
      <c r="D2" t="s">
        <v>78</v>
      </c>
      <c r="E2" t="s">
        <v>79</v>
      </c>
      <c r="F2" t="s">
        <v>80</v>
      </c>
    </row>
    <row r="4" spans="1:6">
      <c r="A4" t="s">
        <v>68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</row>
    <row r="6" spans="1:6">
      <c r="A6" t="s">
        <v>69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</row>
    <row r="8" spans="1:6">
      <c r="A8" t="s">
        <v>70</v>
      </c>
      <c r="B8" t="s">
        <v>91</v>
      </c>
      <c r="C8" t="s">
        <v>92</v>
      </c>
      <c r="D8" t="s">
        <v>93</v>
      </c>
    </row>
    <row r="10" spans="1:6">
      <c r="A10" t="s">
        <v>71</v>
      </c>
      <c r="B10" t="s">
        <v>94</v>
      </c>
      <c r="C10" t="s">
        <v>96</v>
      </c>
      <c r="D10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K31"/>
  <sheetViews>
    <sheetView workbookViewId="0">
      <selection activeCell="G15" sqref="G15"/>
    </sheetView>
  </sheetViews>
  <sheetFormatPr defaultRowHeight="14.4"/>
  <cols>
    <col min="2" max="2" width="6.77734375" customWidth="1"/>
    <col min="3" max="3" width="12.33203125" customWidth="1"/>
    <col min="4" max="4" width="21.21875" customWidth="1"/>
    <col min="5" max="5" width="1.44140625" customWidth="1"/>
    <col min="6" max="6" width="13.44140625" bestFit="1" customWidth="1"/>
    <col min="7" max="7" width="18.21875" bestFit="1" customWidth="1"/>
    <col min="8" max="8" width="1.6640625" customWidth="1"/>
    <col min="9" max="9" width="14.109375" bestFit="1" customWidth="1"/>
  </cols>
  <sheetData>
    <row r="1" spans="2:11" s="16" customFormat="1">
      <c r="B1" s="16" t="s">
        <v>103</v>
      </c>
      <c r="D1" s="16" t="s">
        <v>132</v>
      </c>
      <c r="F1" s="16" t="s">
        <v>104</v>
      </c>
      <c r="G1" s="16" t="s">
        <v>136</v>
      </c>
      <c r="I1" s="16" t="s">
        <v>105</v>
      </c>
      <c r="K1" s="16" t="s">
        <v>106</v>
      </c>
    </row>
    <row r="2" spans="2:11">
      <c r="B2" t="s">
        <v>109</v>
      </c>
      <c r="D2">
        <v>6.7</v>
      </c>
      <c r="F2" t="s">
        <v>125</v>
      </c>
      <c r="G2">
        <f>3*30</f>
        <v>90</v>
      </c>
      <c r="I2" t="s">
        <v>128</v>
      </c>
      <c r="K2" t="s">
        <v>131</v>
      </c>
    </row>
    <row r="3" spans="2:11">
      <c r="B3" t="s">
        <v>107</v>
      </c>
      <c r="D3">
        <v>2</v>
      </c>
      <c r="F3" t="s">
        <v>126</v>
      </c>
      <c r="G3">
        <v>350</v>
      </c>
      <c r="I3" t="s">
        <v>129</v>
      </c>
    </row>
    <row r="4" spans="2:11">
      <c r="B4" t="s">
        <v>108</v>
      </c>
      <c r="D4">
        <v>2.7</v>
      </c>
      <c r="F4" t="s">
        <v>127</v>
      </c>
      <c r="G4">
        <v>350</v>
      </c>
      <c r="I4" t="s">
        <v>130</v>
      </c>
    </row>
    <row r="5" spans="2:11">
      <c r="B5" t="s">
        <v>110</v>
      </c>
      <c r="D5">
        <v>23</v>
      </c>
    </row>
    <row r="6" spans="2:11">
      <c r="B6" t="s">
        <v>111</v>
      </c>
      <c r="D6">
        <v>100</v>
      </c>
    </row>
    <row r="7" spans="2:11">
      <c r="B7" t="s">
        <v>112</v>
      </c>
      <c r="D7">
        <v>70</v>
      </c>
      <c r="G7" s="16">
        <f>SUM(G2:G6)</f>
        <v>790</v>
      </c>
    </row>
    <row r="8" spans="2:11">
      <c r="B8" t="s">
        <v>113</v>
      </c>
      <c r="D8">
        <v>10</v>
      </c>
    </row>
    <row r="9" spans="2:11">
      <c r="B9" t="s">
        <v>114</v>
      </c>
      <c r="D9">
        <v>35</v>
      </c>
      <c r="F9" t="s">
        <v>140</v>
      </c>
    </row>
    <row r="10" spans="2:11">
      <c r="B10" t="s">
        <v>115</v>
      </c>
      <c r="D10">
        <v>200</v>
      </c>
      <c r="F10" t="s">
        <v>139</v>
      </c>
      <c r="G10" s="25">
        <v>0.87</v>
      </c>
    </row>
    <row r="11" spans="2:11">
      <c r="B11" t="s">
        <v>116</v>
      </c>
      <c r="D11">
        <f>40/1000</f>
        <v>0.04</v>
      </c>
      <c r="F11" t="s">
        <v>137</v>
      </c>
      <c r="G11" s="26">
        <f>6*1</f>
        <v>6</v>
      </c>
    </row>
    <row r="12" spans="2:11">
      <c r="B12" t="s">
        <v>117</v>
      </c>
      <c r="D12">
        <f>125/1000</f>
        <v>0.125</v>
      </c>
      <c r="F12" t="s">
        <v>138</v>
      </c>
      <c r="G12" s="26">
        <f>G11/G10</f>
        <v>6.8965517241379315</v>
      </c>
    </row>
    <row r="13" spans="2:11">
      <c r="B13" t="s">
        <v>118</v>
      </c>
    </row>
    <row r="14" spans="2:11">
      <c r="C14" t="s">
        <v>133</v>
      </c>
      <c r="D14">
        <f>4*(130/1000)</f>
        <v>0.52</v>
      </c>
    </row>
    <row r="15" spans="2:11">
      <c r="C15" t="s">
        <v>134</v>
      </c>
      <c r="D15">
        <f>2*(130/1000)</f>
        <v>0.26</v>
      </c>
    </row>
    <row r="16" spans="2:11">
      <c r="C16" t="s">
        <v>119</v>
      </c>
      <c r="D16">
        <v>150</v>
      </c>
    </row>
    <row r="17" spans="2:4">
      <c r="B17" t="s">
        <v>13</v>
      </c>
      <c r="D17">
        <f>130/1000</f>
        <v>0.13</v>
      </c>
    </row>
    <row r="18" spans="2:4">
      <c r="B18" t="s">
        <v>8</v>
      </c>
      <c r="D18">
        <v>24</v>
      </c>
    </row>
    <row r="19" spans="2:4">
      <c r="B19" t="s">
        <v>120</v>
      </c>
      <c r="D19">
        <f>40/1000</f>
        <v>0.04</v>
      </c>
    </row>
    <row r="20" spans="2:4">
      <c r="B20" t="s">
        <v>121</v>
      </c>
      <c r="D20">
        <f>125/1000</f>
        <v>0.125</v>
      </c>
    </row>
    <row r="21" spans="2:4">
      <c r="B21" t="s">
        <v>122</v>
      </c>
    </row>
    <row r="22" spans="2:4">
      <c r="B22" t="s">
        <v>135</v>
      </c>
      <c r="D22">
        <v>300</v>
      </c>
    </row>
    <row r="23" spans="2:4">
      <c r="B23" t="s">
        <v>123</v>
      </c>
    </row>
    <row r="24" spans="2:4">
      <c r="B24" t="s">
        <v>124</v>
      </c>
    </row>
    <row r="26" spans="2:4">
      <c r="D26" s="16">
        <f>SUM(D2:D25)</f>
        <v>924.64</v>
      </c>
    </row>
    <row r="28" spans="2:4">
      <c r="C28" t="s">
        <v>140</v>
      </c>
    </row>
    <row r="29" spans="2:4">
      <c r="C29" t="s">
        <v>139</v>
      </c>
      <c r="D29" s="25">
        <v>0.72</v>
      </c>
    </row>
    <row r="30" spans="2:4">
      <c r="C30" t="s">
        <v>137</v>
      </c>
      <c r="D30" s="26">
        <f>3.3*1.2</f>
        <v>3.9599999999999995</v>
      </c>
    </row>
    <row r="31" spans="2:4">
      <c r="C31" t="s">
        <v>138</v>
      </c>
      <c r="D31" s="26">
        <f>D30/D29</f>
        <v>5.4999999999999991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9B512352D6B54FB1A6ABB88CDAAB72" ma:contentTypeVersion="9" ma:contentTypeDescription="Create a new document." ma:contentTypeScope="" ma:versionID="3f181124aa172d0e2e74f550169da350">
  <xsd:schema xmlns:xsd="http://www.w3.org/2001/XMLSchema" xmlns:xs="http://www.w3.org/2001/XMLSchema" xmlns:p="http://schemas.microsoft.com/office/2006/metadata/properties" xmlns:ns3="4137182f-2f2a-4304-8ffa-7a39fd07916e" xmlns:ns4="914f5681-0b10-4e87-86d3-ead7d49e67d4" targetNamespace="http://schemas.microsoft.com/office/2006/metadata/properties" ma:root="true" ma:fieldsID="7413719e092e39e662fda4a743af3db2" ns3:_="" ns4:_="">
    <xsd:import namespace="4137182f-2f2a-4304-8ffa-7a39fd07916e"/>
    <xsd:import namespace="914f5681-0b10-4e87-86d3-ead7d49e67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7182f-2f2a-4304-8ffa-7a39fd0791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f5681-0b10-4e87-86d3-ead7d49e67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F47445-D8A4-4D41-8514-66975B0BA3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20697E-79AB-4F5F-9C34-CFAC8BEF9925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4137182f-2f2a-4304-8ffa-7a39fd07916e"/>
    <ds:schemaRef ds:uri="http://purl.org/dc/terms/"/>
    <ds:schemaRef ds:uri="914f5681-0b10-4e87-86d3-ead7d49e67d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F9FCEEF-02F1-4F16-BCDF-7D4B105EA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37182f-2f2a-4304-8ffa-7a39fd07916e"/>
    <ds:schemaRef ds:uri="914f5681-0b10-4e87-86d3-ead7d49e6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Comments</vt:lpstr>
      <vt:lpstr>I2C_Buses</vt:lpstr>
      <vt:lpstr>UARTs</vt:lpstr>
      <vt:lpstr>Power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Dey</dc:creator>
  <cp:lastModifiedBy>Віталій Білилівський</cp:lastModifiedBy>
  <dcterms:created xsi:type="dcterms:W3CDTF">2015-06-05T18:17:20Z</dcterms:created>
  <dcterms:modified xsi:type="dcterms:W3CDTF">2022-04-09T12:12:36Z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0x010100859B512352D6B54FB1A6ABB88CDAAB72</vt:lpwstr>
  </property>
</Properties>
</file>